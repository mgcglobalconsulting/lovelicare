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44d56d5c6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b3b9af9db34fa3"/>
    <x:sheet xmlns:r="http://schemas.openxmlformats.org/officeDocument/2006/relationships" name="Inventory" sheetId="2" r:id="R5b8192a820f04db0"/>
    <x:sheet xmlns:r="http://schemas.openxmlformats.org/officeDocument/2006/relationships" name="Payment plans" sheetId="3" r:id="R8322abdfa41e4abe"/>
    <x:sheet xmlns:r="http://schemas.openxmlformats.org/officeDocument/2006/relationships" name="Stock review" sheetId="4" r:id="R3e3cb9132b48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##"/>
  </x:numFmts>
  <x:fonts count="5">
    <x:font>
      <x:sz val="11"/>
      <x:name val="Carlito"/>
    </x:font>
    <x:font>
      <x:sz val="11"/>
      <x:color rgb="FF3C2B25"/>
      <x:name val="Arial"/>
    </x:font>
    <x:font>
      <x:b/>
      <x:sz val="16"/>
      <x:color rgb="FFFAF8F5"/>
      <x:name val="Arial"/>
    </x:font>
    <x:font>
      <x:sz val="10"/>
      <x:color rgb="FF6E564E"/>
      <x:name val="Arial"/>
    </x:font>
    <x:font>
      <x:b/>
      <x:sz val="11"/>
      <x:color rgb="FF3C2B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AF8F5"/>
      </x:patternFill>
    </x:fill>
    <x:fill>
      <x:patternFill patternType="solid">
        <x:fgColor rgb="FF3C2B25"/>
      </x:patternFill>
    </x:fill>
    <x:fill>
      <x:patternFill patternType="solid">
        <x:fgColor rgb="FFEADF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3C2B25"/>
      </x:font>
      <x:fill>
        <x:patternFill patternType="solid">
          <x:bgColor rgb="FFEADF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5795e93e24990" /><Relationship Type="http://schemas.openxmlformats.org/officeDocument/2006/relationships/theme" Target="/xl/theme/theme1.xml" Id="Rde6d4e3c10ec45ca" /><Relationship Type="http://schemas.openxmlformats.org/officeDocument/2006/relationships/sharedStrings" Target="/xl/sharedStrings.xml" Id="R6bc6585d917f46e8" /><Relationship Type="http://schemas.openxmlformats.org/officeDocument/2006/relationships/worksheet" Target="/xl/worksheets/sheet1.xml" Id="R82b3b9af9db34fa3" /><Relationship Type="http://schemas.openxmlformats.org/officeDocument/2006/relationships/worksheet" Target="/xl/worksheets/sheet2.xml" Id="R5b8192a820f04db0" /><Relationship Type="http://schemas.openxmlformats.org/officeDocument/2006/relationships/worksheet" Target="/xl/worksheets/sheet3.xml" Id="R8322abdfa41e4abe" /><Relationship Type="http://schemas.openxmlformats.org/officeDocument/2006/relationships/worksheet" Target="/xl/worksheets/sheet4.xml" Id="R3e3cb9132b4845ef" /></Relationships>
</file>

<file path=xl/tables/table1.xml><?xml version="1.0" encoding="utf-8"?>
<x:table xmlns:x="http://schemas.openxmlformats.org/spreadsheetml/2006/main" id="1" name="InventoryProducts" displayName="InventoryProducts" ref="A4:S13" headerRowCount="1" totalsRowCount="0" totalsRowShown="0">
  <x:tableColumns count="19">
    <x:tableColumn id="1" name="id"/>
    <x:tableColumn id="2" name="name"/>
    <x:tableColumn id="3" name="common_name"/>
    <x:tableColumn id="4" name="category"/>
    <x:tableColumn id="5" name="manufacturer"/>
    <x:tableColumn id="6" name="strength"/>
    <x:tableColumn id="7" name="unit"/>
    <x:tableColumn id="8" name="quantity"/>
    <x:tableColumn id="9" name="reorder_at"/>
    <x:tableColumn id="10" name="cost_price"/>
    <x:tableColumn id="11" name="retail_price"/>
    <x:tableColumn id="12" name="compare_at_price"/>
    <x:tableColumn id="13" name="sku"/>
    <x:tableColumn id="14" name="image_url"/>
    <x:tableColumn id="15" name="notes"/>
    <x:tableColumn id="16" name="updated_at"/>
    <x:tableColumn id="17" name="stock_value"/>
    <x:tableColumn id="18" name="margin"/>
    <x:tableColumn id="19" name="stock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ockReview" displayName="SourceStockReview" ref="A4:E32" headerRowCount="1" totalsRowCount="0" totalsRowShown="0">
  <x:tableColumns count="5">
    <x:tableColumn id="1" name="Original entry"/>
    <x:tableColumn id="2" name="Parsed product"/>
    <x:tableColumn id="3" name="Parsed quantity"/>
    <x:tableColumn id="4" name="Review state"/>
    <x:tableColumn id="5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9986ea9d1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bbd00d7abe4bb4" /></Relationships>
</file>

<file path=xl/worksheets/sheet1.xml><?xml version="1.0" encoding="utf-8"?>
<x:worksheet xmlns:x="http://schemas.openxmlformats.org/spreadsheetml/2006/main">
  <x:sheetPr>
    <x:tabColor rgb="FF3C2B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30" hidden="0" customWidth="1"/>
  </x:cols>
  <x:sheetData>
    <x:row r="1" ht="38" customHeight="1">
      <x:c r="A1" s="5" t="str">
        <x:v>LOVELICARE  /  DASHBOARD</x:v>
      </x:c>
      <x:c r="B1" s="5"/>
      <x:c r="C1" s="5"/>
      <x:c r="D1" s="5"/>
    </x:row>
    <x:row r="2" ht="32" customHeight="1">
      <x:c r="A2" s="6" t="str">
        <x:v>Owner operations · amounts in USD · stock snapshot is not an automatic database sync.</x:v>
      </x:c>
      <x:c r="B2" s="6"/>
      <x:c r="C2" s="6"/>
      <x:c r="D2" s="6"/>
    </x:row>
    <x:row r="3" ht="26" customHeight="1">
      <x:c r="A3" s="3"/>
      <x:c r="B3" s="3"/>
      <x:c r="C3" s="3"/>
      <x:c r="D3" s="3"/>
    </x:row>
    <x:row r="4" ht="35" customHeight="1">
      <x:c r="A4" s="9" t="str">
        <x:v>metric</x:v>
      </x:c>
      <x:c r="B4" s="9" t="str">
        <x:v>value</x:v>
      </x:c>
      <x:c r="C4" s="9" t="str">
        <x:v>meaning</x:v>
      </x:c>
      <x:c r="D4" s="9" t="str">
        <x:v>source</x:v>
      </x:c>
    </x:row>
    <x:row r="5" ht="26" customHeight="1">
      <x:c r="A5" s="3" t="str">
        <x:v>products</x:v>
      </x:c>
      <x:c r="B5" s="3" t="n">
        <x:f>COUNTA(Inventory!A5:A13)</x:f>
        <x:v>9</x:v>
      </x:c>
      <x:c r="C5" s="3" t="str">
        <x:v>Active catalog items</x:v>
      </x:c>
      <x:c r="D5" s="3" t="str">
        <x:v>Inventory</x:v>
      </x:c>
    </x:row>
    <x:row r="6" ht="26" customHeight="1">
      <x:c r="A6" s="3" t="str">
        <x:v>stock_alerts</x:v>
      </x:c>
      <x:c r="B6" s="3" t="n">
        <x:f>COUNTIF(Inventory!S5:S13,"Low stock")+COUNTIF(Inventory!S5:S13,"Out of stock")</x:f>
        <x:v>9</x:v>
      </x:c>
      <x:c r="C6" s="3" t="str">
        <x:v>At or below reorder level</x:v>
      </x:c>
      <x:c r="D6" s="3" t="str">
        <x:v>Inventory</x:v>
      </x:c>
    </x:row>
    <x:row r="7" ht="26" customHeight="1">
      <x:c r="A7" s="3" t="str">
        <x:v>priced_products</x:v>
      </x:c>
      <x:c r="B7" s="3" t="n">
        <x:f>COUNT(Inventory!K5:K13)</x:f>
        <x:v>0</x:v>
      </x:c>
      <x:c r="C7" s="3" t="str">
        <x:v>Retail price entered</x:v>
      </x:c>
      <x:c r="D7" s="3" t="str">
        <x:v>Inventory</x:v>
      </x:c>
    </x:row>
    <x:row r="8" ht="26" customHeight="1">
      <x:c r="A8" s="3" t="str">
        <x:v>stock_value</x:v>
      </x:c>
      <x:c r="B8" s="10" t="str">
        <x:f>IF(COUNT(Inventory!J5:J13)=0,"",SUM(Inventory!Q5:Q13))</x:f>
      </x:c>
      <x:c r="C8" s="3" t="str">
        <x:v>Only items with a cost entered</x:v>
      </x:c>
      <x:c r="D8" s="3" t="str">
        <x:v>Inventory</x:v>
      </x:c>
    </x:row>
    <x:row r="9" ht="26" customHeight="1">
      <x:c r="A9" s="3" t="str">
        <x:v>snapshot_date</x:v>
      </x:c>
      <x:c r="B9" s="3" t="str">
        <x:v>2026-10-07</x:v>
      </x:c>
      <x:c r="C9" s="3" t="str">
        <x:v>Source date</x:v>
      </x:c>
      <x:c r="D9" s="3" t="str">
        <x:v>Supabase</x:v>
      </x:c>
    </x:row>
    <x:row r="10" ht="26" customHeight="1">
      <x:c r="A10" s="3" t="str">
        <x:v>connection_status</x:v>
      </x:c>
      <x:c r="B10" s="3" t="str">
        <x:v>Awaiting account connection</x:v>
      </x:c>
      <x:c r="C10" s="3" t="str">
        <x:v>Runtime Google authorization is required</x:v>
      </x:c>
      <x:c r="D10" s="3" t="str">
        <x:v>Google Sheets</x:v>
      </x:c>
    </x:row>
    <x:row r="11" ht="26" customHeight="1">
      <x:c r="A11" s="3"/>
      <x:c r="B11" s="3"/>
      <x:c r="C11" s="3"/>
      <x:c r="D11" s="3"/>
    </x:row>
    <x:row r="12" ht="26" customHeight="1">
      <x:c r="A12" s="3"/>
      <x:c r="B12" s="3"/>
      <x:c r="C12" s="3"/>
      <x:c r="D12" s="3"/>
    </x:row>
    <x:row r="13" ht="26" customHeight="1">
      <x:c r="A13" s="3"/>
      <x:c r="B13" s="3"/>
      <x:c r="C13" s="3"/>
      <x:c r="D13" s="3"/>
    </x:row>
    <x:row r="14" ht="26" customHeight="1">
      <x:c r="A14" s="3"/>
      <x:c r="B14" s="3"/>
      <x:c r="C14" s="3"/>
      <x:c r="D14" s="3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C2B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58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0" hidden="0" customWidth="1"/>
    <x:col min="16" max="16" width="40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8" customHeight="1">
      <x:c r="A1" s="5" t="str">
        <x:v>LOVELICARE  / 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2" customHeight="1">
      <x:c r="A2" s="6" t="str">
        <x:v>Source: Supabase inventory_items, snapshot 2026-10-07. Edit prices only when verified. Counts have not been replaced by the newer stock file.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5" customHeight="1">
      <x:c r="A4" s="9" t="str">
        <x:v>id</x:v>
      </x:c>
      <x:c r="B4" s="9" t="str">
        <x:v>name</x:v>
      </x:c>
      <x:c r="C4" s="9" t="str">
        <x:v>common_name</x:v>
      </x:c>
      <x:c r="D4" s="9" t="str">
        <x:v>category</x:v>
      </x:c>
      <x:c r="E4" s="9" t="str">
        <x:v>manufacturer</x:v>
      </x:c>
      <x:c r="F4" s="9" t="str">
        <x:v>strength</x:v>
      </x:c>
      <x:c r="G4" s="9" t="str">
        <x:v>unit</x:v>
      </x:c>
      <x:c r="H4" s="9" t="str">
        <x:v>quantity</x:v>
      </x:c>
      <x:c r="I4" s="9" t="str">
        <x:v>reorder_at</x:v>
      </x:c>
      <x:c r="J4" s="9" t="str">
        <x:v>cost_price</x:v>
      </x:c>
      <x:c r="K4" s="9" t="str">
        <x:v>retail_price</x:v>
      </x:c>
      <x:c r="L4" s="9" t="str">
        <x:v>compare_at_price</x:v>
      </x:c>
      <x:c r="M4" s="9" t="str">
        <x:v>sku</x:v>
      </x:c>
      <x:c r="N4" s="9" t="str">
        <x:v>image_url</x:v>
      </x:c>
      <x:c r="O4" s="9" t="str">
        <x:v>notes</x:v>
      </x:c>
      <x:c r="P4" s="9" t="str">
        <x:v>updated_at</x:v>
      </x:c>
      <x:c r="Q4" s="9" t="str">
        <x:v>stock_value</x:v>
      </x:c>
      <x:c r="R4" s="9" t="str">
        <x:v>margin</x:v>
      </x:c>
      <x:c r="S4" s="9" t="str">
        <x:v>stock_status</x:v>
      </x:c>
    </x:row>
    <x:row r="5" ht="26" customHeight="1">
      <x:c r="A5" s="3" t="str">
        <x:v>c225cf87-12d8-44bf-98ae-3698f6ff08d4</x:v>
      </x:c>
      <x:c r="B5" s="3" t="str">
        <x:v>BIOTIN SOLUTION FOR INJECTION</x:v>
      </x:c>
      <x:c r="C5" s="3" t="str">
        <x:v>Biotin</x:v>
      </x:c>
      <x:c r="D5" s="3" t="str">
        <x:v>vitamin</x:v>
      </x:c>
      <x:c r="E5" s="3" t="str">
        <x:v>ASP Cares</x:v>
      </x:c>
      <x:c r="F5" s="3" t="str">
        <x:v>10 mg/mL</x:v>
      </x:c>
      <x:c r="G5" s="3" t="str">
        <x:v>vial</x:v>
      </x:c>
      <x:c r="H5" s="12" t="n">
        <x:v>10</x:v>
      </x:c>
      <x:c r="I5" s="12" t="n">
        <x:v>10</x:v>
      </x:c>
      <x:c r="J5" s="10"/>
      <x:c r="K5" s="10"/>
      <x:c r="L5" s="10"/>
      <x:c r="M5" s="3"/>
      <x:c r="N5" s="3"/>
      <x:c r="O5" s="3"/>
      <x:c r="P5" s="3" t="d">
        <x:v>2026-10-06T23:29:44.997Z</x:v>
      </x:c>
      <x:c r="Q5" s="10" t="str">
        <x:f>IF(J5="","",H5*J5)</x:f>
      </x:c>
      <x:c r="R5" s="11" t="str">
        <x:f>IF(OR(J5="",K5="",K5=0),"",(K5-J5)/K5)</x:f>
      </x:c>
      <x:c r="S5" s="3" t="str">
        <x:f>IF(H5=0,"Out of stock",IF(H5&lt;=I5,"Low stock","In stock"))</x:f>
        <x:v>Low stock</x:v>
      </x:c>
    </x:row>
    <x:row r="6" ht="26" customHeight="1">
      <x:c r="A6" s="3" t="str">
        <x:v>d9e050c6-322a-406a-a618-775d0dbc2cff</x:v>
      </x:c>
      <x:c r="B6" s="3" t="str">
        <x:v>COENZYME Q-10 (UBIDECARENONE) INJECTION</x:v>
      </x:c>
      <x:c r="C6" s="3" t="str">
        <x:v>CoQ10</x:v>
      </x:c>
      <x:c r="D6" s="3" t="str">
        <x:v>antioxidant</x:v>
      </x:c>
      <x:c r="E6" s="3" t="str">
        <x:v>Empower Pharmacy</x:v>
      </x:c>
      <x:c r="F6" s="3" t="str">
        <x:v>20 mg/mL</x:v>
      </x:c>
      <x:c r="G6" s="3" t="str">
        <x:v>vial</x:v>
      </x:c>
      <x:c r="H6" s="12" t="n">
        <x:v>10</x:v>
      </x:c>
      <x:c r="I6" s="12" t="n">
        <x:v>10</x:v>
      </x:c>
      <x:c r="J6" s="10"/>
      <x:c r="K6" s="10"/>
      <x:c r="L6" s="10"/>
      <x:c r="M6" s="3"/>
      <x:c r="N6" s="3"/>
      <x:c r="O6" s="3"/>
      <x:c r="P6" s="3" t="d">
        <x:v>2026-10-06T23:29:44.997Z</x:v>
      </x:c>
      <x:c r="Q6" s="10" t="str">
        <x:f>IF(J6="","",H6*J6)</x:f>
      </x:c>
      <x:c r="R6" s="11" t="str">
        <x:f>IF(OR(J6="",K6="",K6=0),"",(K6-J6)/K6)</x:f>
      </x:c>
      <x:c r="S6" s="3" t="str">
        <x:f>IF(H6=0,"Out of stock",IF(H6&lt;=I6,"Low stock","In stock"))</x:f>
        <x:v>Low stock</x:v>
      </x:c>
    </x:row>
    <x:row r="7" ht="26" customHeight="1">
      <x:c r="A7" s="3" t="str">
        <x:v>8e31df77-dae9-44e6-b6b0-d49c6b82bbe6</x:v>
      </x:c>
      <x:c r="B7" s="3" t="str">
        <x:v>GLUTATHIONE INJECTION PRESERVATIVE FREE</x:v>
      </x:c>
      <x:c r="C7" s="3" t="str">
        <x:v>Glutathione</x:v>
      </x:c>
      <x:c r="D7" s="3" t="str">
        <x:v>antioxidant</x:v>
      </x:c>
      <x:c r="E7" s="3" t="str">
        <x:v>Empower Pharmacy</x:v>
      </x:c>
      <x:c r="F7" s="3" t="str">
        <x:v>200 mg/mL</x:v>
      </x:c>
      <x:c r="G7" s="3" t="str">
        <x:v>vial</x:v>
      </x:c>
      <x:c r="H7" s="12" t="n">
        <x:v>10</x:v>
      </x:c>
      <x:c r="I7" s="12" t="n">
        <x:v>10</x:v>
      </x:c>
      <x:c r="J7" s="10"/>
      <x:c r="K7" s="10"/>
      <x:c r="L7" s="10"/>
      <x:c r="M7" s="3"/>
      <x:c r="N7" s="3"/>
      <x:c r="O7" s="3"/>
      <x:c r="P7" s="3" t="d">
        <x:v>2026-10-06T23:29:44.997Z</x:v>
      </x:c>
      <x:c r="Q7" s="10" t="str">
        <x:f>IF(J7="","",H7*J7)</x:f>
      </x:c>
      <x:c r="R7" s="11" t="str">
        <x:f>IF(OR(J7="",K7="",K7=0),"",(K7-J7)/K7)</x:f>
      </x:c>
      <x:c r="S7" s="3" t="str">
        <x:f>IF(H7=0,"Out of stock",IF(H7&lt;=I7,"Low stock","In stock"))</x:f>
        <x:v>Low stock</x:v>
      </x:c>
    </x:row>
    <x:row r="8" ht="26" customHeight="1">
      <x:c r="A8" s="3" t="str">
        <x:v>9dabafc2-b721-482b-abdd-4f1e0c72b6d1</x:v>
      </x:c>
      <x:c r="B8" s="3" t="str">
        <x:v>LIPO INJECTION</x:v>
      </x:c>
      <x:c r="C8" s="3" t="str">
        <x:v>Lipotropic</x:v>
      </x:c>
      <x:c r="D8" s="3" t="str">
        <x:v>lipotropic</x:v>
      </x:c>
      <x:c r="E8" s="3" t="str">
        <x:v>Empower Pharmacy</x:v>
      </x:c>
      <x:c r="F8" s="3" t="str">
        <x:v>25 / 50 / 50 mg/mL</x:v>
      </x:c>
      <x:c r="G8" s="3" t="str">
        <x:v>vial</x:v>
      </x:c>
      <x:c r="H8" s="12" t="n">
        <x:v>10</x:v>
      </x:c>
      <x:c r="I8" s="12" t="n">
        <x:v>10</x:v>
      </x:c>
      <x:c r="J8" s="10"/>
      <x:c r="K8" s="10"/>
      <x:c r="L8" s="10"/>
      <x:c r="M8" s="3"/>
      <x:c r="N8" s="3"/>
      <x:c r="O8" s="3"/>
      <x:c r="P8" s="3" t="d">
        <x:v>2026-10-06T23:29:44.997Z</x:v>
      </x:c>
      <x:c r="Q8" s="10" t="str">
        <x:f>IF(J8="","",H8*J8)</x:f>
      </x:c>
      <x:c r="R8" s="11" t="str">
        <x:f>IF(OR(J8="",K8="",K8=0),"",(K8-J8)/K8)</x:f>
      </x:c>
      <x:c r="S8" s="3" t="str">
        <x:f>IF(H8=0,"Out of stock",IF(H8&lt;=I8,"Low stock","In stock"))</x:f>
        <x:v>Low stock</x:v>
      </x:c>
    </x:row>
    <x:row r="9" ht="26" customHeight="1">
      <x:c r="A9" s="3" t="str">
        <x:v>7a739271-0414-4932-87e4-5a884a0534b1</x:v>
      </x:c>
      <x:c r="B9" s="3" t="str">
        <x:v>LIPO-B INJECTION</x:v>
      </x:c>
      <x:c r="C9" s="3" t="str">
        <x:v>Lipotropic B</x:v>
      </x:c>
      <x:c r="D9" s="3" t="str">
        <x:v>lipotropic</x:v>
      </x:c>
      <x:c r="E9" s="3" t="str">
        <x:v>Empower Pharmacy</x:v>
      </x:c>
      <x:c r="F9" s="3" t="str">
        <x:v>25 / 50 / 50 / 1 mg/mL</x:v>
      </x:c>
      <x:c r="G9" s="3" t="str">
        <x:v>vial</x:v>
      </x:c>
      <x:c r="H9" s="12" t="n">
        <x:v>10</x:v>
      </x:c>
      <x:c r="I9" s="12" t="n">
        <x:v>10</x:v>
      </x:c>
      <x:c r="J9" s="10"/>
      <x:c r="K9" s="10"/>
      <x:c r="L9" s="10"/>
      <x:c r="M9" s="3"/>
      <x:c r="N9" s="3"/>
      <x:c r="O9" s="3"/>
      <x:c r="P9" s="3" t="d">
        <x:v>2026-10-06T23:29:44.997Z</x:v>
      </x:c>
      <x:c r="Q9" s="10" t="str">
        <x:f>IF(J9="","",H9*J9)</x:f>
      </x:c>
      <x:c r="R9" s="11" t="str">
        <x:f>IF(OR(J9="",K9="",K9=0),"",(K9-J9)/K9)</x:f>
      </x:c>
      <x:c r="S9" s="3" t="str">
        <x:f>IF(H9=0,"Out of stock",IF(H9&lt;=I9,"Low stock","In stock"))</x:f>
        <x:v>Low stock</x:v>
      </x:c>
    </x:row>
    <x:row r="10" ht="26" customHeight="1">
      <x:c r="A10" s="3" t="str">
        <x:v>6c196e5b-88e9-4f31-9d9c-7aceafa13673</x:v>
      </x:c>
      <x:c r="B10" s="3" t="str">
        <x:v>PYRIDOXINE HCL (B6) INJECTION</x:v>
      </x:c>
      <x:c r="C10" s="3" t="str">
        <x:v>Vitamin B6</x:v>
      </x:c>
      <x:c r="D10" s="3" t="str">
        <x:v>vitamin</x:v>
      </x:c>
      <x:c r="E10" s="3" t="str">
        <x:v>Empower Pharmacy</x:v>
      </x:c>
      <x:c r="F10" s="3" t="str">
        <x:v>100 mg/mL</x:v>
      </x:c>
      <x:c r="G10" s="3" t="str">
        <x:v>vial</x:v>
      </x:c>
      <x:c r="H10" s="12" t="n">
        <x:v>10</x:v>
      </x:c>
      <x:c r="I10" s="12" t="n">
        <x:v>10</x:v>
      </x:c>
      <x:c r="J10" s="10"/>
      <x:c r="K10" s="10"/>
      <x:c r="L10" s="10"/>
      <x:c r="M10" s="3"/>
      <x:c r="N10" s="3"/>
      <x:c r="O10" s="3"/>
      <x:c r="P10" s="3" t="d">
        <x:v>2026-10-06T23:29:44.997Z</x:v>
      </x:c>
      <x:c r="Q10" s="10" t="str">
        <x:f>IF(J10="","",H10*J10)</x:f>
      </x:c>
      <x:c r="R10" s="11" t="str">
        <x:f>IF(OR(J10="",K10="",K10=0),"",(K10-J10)/K10)</x:f>
      </x:c>
      <x:c r="S10" s="3" t="str">
        <x:f>IF(H10=0,"Out of stock",IF(H10&lt;=I10,"Low stock","In stock"))</x:f>
        <x:v>Low stock</x:v>
      </x:c>
    </x:row>
    <x:row r="11" ht="26" customHeight="1">
      <x:c r="A11" s="3" t="str">
        <x:v>519cd5d9-8938-42f2-a522-3677b6f0ca60</x:v>
      </x:c>
      <x:c r="B11" s="3" t="str">
        <x:v>TAURINE INJECTION</x:v>
      </x:c>
      <x:c r="C11" s="3" t="str">
        <x:v>Taurine</x:v>
      </x:c>
      <x:c r="D11" s="3" t="str">
        <x:v>im_injection</x:v>
      </x:c>
      <x:c r="E11" s="3" t="str">
        <x:v>Empower Pharmacy</x:v>
      </x:c>
      <x:c r="F11" s="3" t="str">
        <x:v>50 mg/mL</x:v>
      </x:c>
      <x:c r="G11" s="3" t="str">
        <x:v>vial</x:v>
      </x:c>
      <x:c r="H11" s="12" t="n">
        <x:v>10</x:v>
      </x:c>
      <x:c r="I11" s="12" t="n">
        <x:v>10</x:v>
      </x:c>
      <x:c r="J11" s="10"/>
      <x:c r="K11" s="10"/>
      <x:c r="L11" s="10"/>
      <x:c r="M11" s="3"/>
      <x:c r="N11" s="3"/>
      <x:c r="O11" s="3"/>
      <x:c r="P11" s="3" t="d">
        <x:v>2026-10-06T23:29:44.997Z</x:v>
      </x:c>
      <x:c r="Q11" s="10" t="str">
        <x:f>IF(J11="","",H11*J11)</x:f>
      </x:c>
      <x:c r="R11" s="11" t="str">
        <x:f>IF(OR(J11="",K11="",K11=0),"",(K11-J11)/K11)</x:f>
      </x:c>
      <x:c r="S11" s="3" t="str">
        <x:f>IF(H11=0,"Out of stock",IF(H11&lt;=I11,"Low stock","In stock"))</x:f>
        <x:v>Low stock</x:v>
      </x:c>
    </x:row>
    <x:row r="12" ht="26" customHeight="1">
      <x:c r="A12" s="3" t="str">
        <x:v>306f65c5-a81f-4d16-9cfe-e75f8a137dff</x:v>
      </x:c>
      <x:c r="B12" s="3" t="str">
        <x:v>VITAMIN D3 INJECTION</x:v>
      </x:c>
      <x:c r="C12" s="3" t="str">
        <x:v>Vitamin D3</x:v>
      </x:c>
      <x:c r="D12" s="3" t="str">
        <x:v>vitamin</x:v>
      </x:c>
      <x:c r="E12" s="3" t="str">
        <x:v>Olympia Compounding Pharmacy</x:v>
      </x:c>
      <x:c r="F12" s="3" t="str">
        <x:v>50,000 IU/mL</x:v>
      </x:c>
      <x:c r="G12" s="3" t="str">
        <x:v>vial</x:v>
      </x:c>
      <x:c r="H12" s="12" t="n">
        <x:v>10</x:v>
      </x:c>
      <x:c r="I12" s="12" t="n">
        <x:v>10</x:v>
      </x:c>
      <x:c r="J12" s="10"/>
      <x:c r="K12" s="10"/>
      <x:c r="L12" s="10"/>
      <x:c r="M12" s="3"/>
      <x:c r="N12" s="3"/>
      <x:c r="O12" s="3"/>
      <x:c r="P12" s="3" t="d">
        <x:v>2026-10-06T23:29:44.997Z</x:v>
      </x:c>
      <x:c r="Q12" s="10" t="str">
        <x:f>IF(J12="","",H12*J12)</x:f>
      </x:c>
      <x:c r="R12" s="11" t="str">
        <x:f>IF(OR(J12="",K12="",K12=0),"",(K12-J12)/K12)</x:f>
      </x:c>
      <x:c r="S12" s="3" t="str">
        <x:f>IF(H12=0,"Out of stock",IF(H12&lt;=I12,"Low stock","In stock"))</x:f>
        <x:v>Low stock</x:v>
      </x:c>
    </x:row>
    <x:row r="13" ht="26" customHeight="1">
      <x:c r="A13" s="3" t="str">
        <x:v>100e6429-795d-4609-b567-bc3a8e11ae2a</x:v>
      </x:c>
      <x:c r="B13" s="3" t="str">
        <x:v>ZINC CHLORIDE INJECTION</x:v>
      </x:c>
      <x:c r="C13" s="3" t="str">
        <x:v>Zinc</x:v>
      </x:c>
      <x:c r="D13" s="3" t="str">
        <x:v>mineral</x:v>
      </x:c>
      <x:c r="E13" s="3" t="str">
        <x:v>Olympia Pharmaceuticals</x:v>
      </x:c>
      <x:c r="F13" s="3" t="str">
        <x:v>0.5 mg/mL</x:v>
      </x:c>
      <x:c r="G13" s="3" t="str">
        <x:v>vial</x:v>
      </x:c>
      <x:c r="H13" s="12" t="n">
        <x:v>10</x:v>
      </x:c>
      <x:c r="I13" s="12" t="n">
        <x:v>10</x:v>
      </x:c>
      <x:c r="J13" s="10"/>
      <x:c r="K13" s="10"/>
      <x:c r="L13" s="10"/>
      <x:c r="M13" s="3"/>
      <x:c r="N13" s="3"/>
      <x:c r="O13" s="3"/>
      <x:c r="P13" s="3" t="d">
        <x:v>2026-10-06T23:29:44.997Z</x:v>
      </x:c>
      <x:c r="Q13" s="10" t="str">
        <x:f>IF(J13="","",H13*J13)</x:f>
      </x:c>
      <x:c r="R13" s="11" t="str">
        <x:f>IF(OR(J13="",K13="",K13=0),"",(K13-J13)/K13)</x:f>
      </x:c>
      <x:c r="S13" s="3" t="str">
        <x:f>IF(H13=0,"Out of stock",IF(H13&lt;=I13,"Low stock","In stock"))</x:f>
        <x:v>Low stock</x:v>
      </x:c>
    </x:row>
  </x:sheetData>
  <x:mergeCells>
    <x:mergeCell ref="A1:S1"/>
    <x:mergeCell ref="A2:S2"/>
  </x:mergeCells>
  <x:conditionalFormatting sqref="S5:S13">
    <x:cfRule type="containsText" dxfId="0" priority="1" operator="containsText" text="Low stock"/>
  </x:conditionalFormatting>
  <x:dataValidations count="1">
    <x:dataValidation type="list" sqref="D5:D13">
      <x:formula1>"iv_therapy,im_injection,lipotropic,vitamin,mineral,antioxidant,other"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d9986ea9d14ec2"/>
  </x:tableParts>
</x:worksheet>
</file>

<file path=xl/worksheets/sheet3.xml><?xml version="1.0" encoding="utf-8"?>
<x:worksheet xmlns:x="http://schemas.openxmlformats.org/spreadsheetml/2006/main">
  <x:sheetPr>
    <x:tabColor rgb="FF3C2B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7" hidden="0" customWidth="1"/>
  </x:cols>
  <x:sheetData>
    <x:row r="1" ht="38" customHeight="1">
      <x:c r="A1" s="5" t="str">
        <x:v>LOVELICARE  /  PAYMENT PLANS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6" t="str">
        <x:v>Optional customer terms per product unit. No interest/fees included. Empty terms mean no plan. This sheet never collects or charges payments.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5" customHeight="1">
      <x:c r="A4" s="9" t="str">
        <x:v>Product</x:v>
      </x:c>
      <x:c r="B4" s="9" t="str">
        <x:v>Retail total ($)</x:v>
      </x:c>
      <x:c r="C4" s="9" t="str">
        <x:v>Deposit ($)</x:v>
      </x:c>
      <x:c r="D4" s="9" t="str">
        <x:v>Installments</x:v>
      </x:c>
      <x:c r="E4" s="9" t="str">
        <x:v>Frequency</x:v>
      </x:c>
      <x:c r="F4" s="9" t="str">
        <x:v>Regular amount ($)</x:v>
      </x:c>
      <x:c r="G4" s="9" t="str">
        <x:v>Final amount ($)</x:v>
      </x:c>
      <x:c r="H4" s="9" t="str">
        <x:v>Total check ($)</x:v>
      </x:c>
      <x:c r="I4" s="9" t="str">
        <x:v>Status</x:v>
      </x:c>
    </x:row>
    <x:row r="5" ht="26" customHeight="1">
      <x:c r="A5" s="3" t="str">
        <x:f>Inventory!C5</x:f>
        <x:v>Biotin</x:v>
      </x:c>
      <x:c r="B5" s="10" t="str">
        <x:f>IF(Inventory!K5="","",Inventory!K5)</x:f>
      </x:c>
      <x:c r="C5" s="13"/>
      <x:c r="D5" s="7"/>
      <x:c r="E5" s="7"/>
      <x:c r="F5" s="10" t="str">
        <x:f>IF(OR(B5="",C5="",D5="",E5=""),"",IF(OR(C5&lt;0,C5&gt;=B5,D5&lt;2,D5&gt;24,D5&lt;&gt;INT(D5),ROUND((B5-C5)*100,0)&lt;D5),"",ROUNDDOWN((B5-C5)/D5,2)))</x:f>
      </x:c>
      <x:c r="G5" s="10" t="str">
        <x:f>IF(F5="","",ROUND(B5-C5-F5*(D5-1),2))</x:f>
      </x:c>
      <x:c r="H5" s="10" t="str">
        <x:f>IF(F5="","",ROUND(C5+F5*(D5-1)+G5,2))</x:f>
      </x:c>
      <x:c r="I5" s="3" t="str">
        <x:f>IF(OR(B5="",C5="",D5="",E5=""),"Not configured",IF(F5="","Review terms","Ready for owner review"))</x:f>
        <x:v>Not configured</x:v>
      </x:c>
    </x:row>
    <x:row r="6" ht="26" customHeight="1">
      <x:c r="A6" s="3" t="str">
        <x:f>Inventory!C6</x:f>
        <x:v>CoQ10</x:v>
      </x:c>
      <x:c r="B6" s="10" t="str">
        <x:f>IF(Inventory!K6="","",Inventory!K6)</x:f>
      </x:c>
      <x:c r="C6" s="13"/>
      <x:c r="D6" s="7"/>
      <x:c r="E6" s="7"/>
      <x:c r="F6" s="10" t="str">
        <x:f>IF(OR(B6="",C6="",D6="",E6=""),"",IF(OR(C6&lt;0,C6&gt;=B6,D6&lt;2,D6&gt;24,D6&lt;&gt;INT(D6),ROUND((B6-C6)*100,0)&lt;D6),"",ROUNDDOWN((B6-C6)/D6,2)))</x:f>
      </x:c>
      <x:c r="G6" s="10" t="str">
        <x:f>IF(F6="","",ROUND(B6-C6-F6*(D6-1),2))</x:f>
      </x:c>
      <x:c r="H6" s="10" t="str">
        <x:f>IF(F6="","",ROUND(C6+F6*(D6-1)+G6,2))</x:f>
      </x:c>
      <x:c r="I6" s="3" t="str">
        <x:f>IF(OR(B6="",C6="",D6="",E6=""),"Not configured",IF(F6="","Review terms","Ready for owner review"))</x:f>
        <x:v>Not configured</x:v>
      </x:c>
    </x:row>
    <x:row r="7" ht="26" customHeight="1">
      <x:c r="A7" s="3" t="str">
        <x:f>Inventory!C7</x:f>
        <x:v>Glutathione</x:v>
      </x:c>
      <x:c r="B7" s="10" t="str">
        <x:f>IF(Inventory!K7="","",Inventory!K7)</x:f>
      </x:c>
      <x:c r="C7" s="13"/>
      <x:c r="D7" s="7"/>
      <x:c r="E7" s="7"/>
      <x:c r="F7" s="10" t="str">
        <x:f>IF(OR(B7="",C7="",D7="",E7=""),"",IF(OR(C7&lt;0,C7&gt;=B7,D7&lt;2,D7&gt;24,D7&lt;&gt;INT(D7),ROUND((B7-C7)*100,0)&lt;D7),"",ROUNDDOWN((B7-C7)/D7,2)))</x:f>
      </x:c>
      <x:c r="G7" s="10" t="str">
        <x:f>IF(F7="","",ROUND(B7-C7-F7*(D7-1),2))</x:f>
      </x:c>
      <x:c r="H7" s="10" t="str">
        <x:f>IF(F7="","",ROUND(C7+F7*(D7-1)+G7,2))</x:f>
      </x:c>
      <x:c r="I7" s="3" t="str">
        <x:f>IF(OR(B7="",C7="",D7="",E7=""),"Not configured",IF(F7="","Review terms","Ready for owner review"))</x:f>
        <x:v>Not configured</x:v>
      </x:c>
    </x:row>
    <x:row r="8" ht="26" customHeight="1">
      <x:c r="A8" s="3" t="str">
        <x:f>Inventory!C8</x:f>
        <x:v>Lipotropic</x:v>
      </x:c>
      <x:c r="B8" s="10" t="str">
        <x:f>IF(Inventory!K8="","",Inventory!K8)</x:f>
      </x:c>
      <x:c r="C8" s="13"/>
      <x:c r="D8" s="7"/>
      <x:c r="E8" s="7"/>
      <x:c r="F8" s="10" t="str">
        <x:f>IF(OR(B8="",C8="",D8="",E8=""),"",IF(OR(C8&lt;0,C8&gt;=B8,D8&lt;2,D8&gt;24,D8&lt;&gt;INT(D8),ROUND((B8-C8)*100,0)&lt;D8),"",ROUNDDOWN((B8-C8)/D8,2)))</x:f>
      </x:c>
      <x:c r="G8" s="10" t="str">
        <x:f>IF(F8="","",ROUND(B8-C8-F8*(D8-1),2))</x:f>
      </x:c>
      <x:c r="H8" s="10" t="str">
        <x:f>IF(F8="","",ROUND(C8+F8*(D8-1)+G8,2))</x:f>
      </x:c>
      <x:c r="I8" s="3" t="str">
        <x:f>IF(OR(B8="",C8="",D8="",E8=""),"Not configured",IF(F8="","Review terms","Ready for owner review"))</x:f>
        <x:v>Not configured</x:v>
      </x:c>
    </x:row>
    <x:row r="9" ht="26" customHeight="1">
      <x:c r="A9" s="3" t="str">
        <x:f>Inventory!C9</x:f>
        <x:v>Lipotropic B</x:v>
      </x:c>
      <x:c r="B9" s="10" t="str">
        <x:f>IF(Inventory!K9="","",Inventory!K9)</x:f>
      </x:c>
      <x:c r="C9" s="13"/>
      <x:c r="D9" s="7"/>
      <x:c r="E9" s="7"/>
      <x:c r="F9" s="10" t="str">
        <x:f>IF(OR(B9="",C9="",D9="",E9=""),"",IF(OR(C9&lt;0,C9&gt;=B9,D9&lt;2,D9&gt;24,D9&lt;&gt;INT(D9),ROUND((B9-C9)*100,0)&lt;D9),"",ROUNDDOWN((B9-C9)/D9,2)))</x:f>
      </x:c>
      <x:c r="G9" s="10" t="str">
        <x:f>IF(F9="","",ROUND(B9-C9-F9*(D9-1),2))</x:f>
      </x:c>
      <x:c r="H9" s="10" t="str">
        <x:f>IF(F9="","",ROUND(C9+F9*(D9-1)+G9,2))</x:f>
      </x:c>
      <x:c r="I9" s="3" t="str">
        <x:f>IF(OR(B9="",C9="",D9="",E9=""),"Not configured",IF(F9="","Review terms","Ready for owner review"))</x:f>
        <x:v>Not configured</x:v>
      </x:c>
    </x:row>
    <x:row r="10" ht="26" customHeight="1">
      <x:c r="A10" s="3" t="str">
        <x:f>Inventory!C10</x:f>
        <x:v>Vitamin B6</x:v>
      </x:c>
      <x:c r="B10" s="10" t="str">
        <x:f>IF(Inventory!K10="","",Inventory!K10)</x:f>
      </x:c>
      <x:c r="C10" s="13"/>
      <x:c r="D10" s="7"/>
      <x:c r="E10" s="7"/>
      <x:c r="F10" s="10" t="str">
        <x:f>IF(OR(B10="",C10="",D10="",E10=""),"",IF(OR(C10&lt;0,C10&gt;=B10,D10&lt;2,D10&gt;24,D10&lt;&gt;INT(D10),ROUND((B10-C10)*100,0)&lt;D10),"",ROUNDDOWN((B10-C10)/D10,2)))</x:f>
      </x:c>
      <x:c r="G10" s="10" t="str">
        <x:f>IF(F10="","",ROUND(B10-C10-F10*(D10-1),2))</x:f>
      </x:c>
      <x:c r="H10" s="10" t="str">
        <x:f>IF(F10="","",ROUND(C10+F10*(D10-1)+G10,2))</x:f>
      </x:c>
      <x:c r="I10" s="3" t="str">
        <x:f>IF(OR(B10="",C10="",D10="",E10=""),"Not configured",IF(F10="","Review terms","Ready for owner review"))</x:f>
        <x:v>Not configured</x:v>
      </x:c>
    </x:row>
    <x:row r="11" ht="26" customHeight="1">
      <x:c r="A11" s="3" t="str">
        <x:f>Inventory!C11</x:f>
        <x:v>Taurine</x:v>
      </x:c>
      <x:c r="B11" s="10" t="str">
        <x:f>IF(Inventory!K11="","",Inventory!K11)</x:f>
      </x:c>
      <x:c r="C11" s="13"/>
      <x:c r="D11" s="7"/>
      <x:c r="E11" s="7"/>
      <x:c r="F11" s="10" t="str">
        <x:f>IF(OR(B11="",C11="",D11="",E11=""),"",IF(OR(C11&lt;0,C11&gt;=B11,D11&lt;2,D11&gt;24,D11&lt;&gt;INT(D11),ROUND((B11-C11)*100,0)&lt;D11),"",ROUNDDOWN((B11-C11)/D11,2)))</x:f>
      </x:c>
      <x:c r="G11" s="10" t="str">
        <x:f>IF(F11="","",ROUND(B11-C11-F11*(D11-1),2))</x:f>
      </x:c>
      <x:c r="H11" s="10" t="str">
        <x:f>IF(F11="","",ROUND(C11+F11*(D11-1)+G11,2))</x:f>
      </x:c>
      <x:c r="I11" s="3" t="str">
        <x:f>IF(OR(B11="",C11="",D11="",E11=""),"Not configured",IF(F11="","Review terms","Ready for owner review"))</x:f>
        <x:v>Not configured</x:v>
      </x:c>
    </x:row>
    <x:row r="12" ht="26" customHeight="1">
      <x:c r="A12" s="3" t="str">
        <x:f>Inventory!C12</x:f>
        <x:v>Vitamin D3</x:v>
      </x:c>
      <x:c r="B12" s="10" t="str">
        <x:f>IF(Inventory!K12="","",Inventory!K12)</x:f>
      </x:c>
      <x:c r="C12" s="13"/>
      <x:c r="D12" s="7"/>
      <x:c r="E12" s="7"/>
      <x:c r="F12" s="10" t="str">
        <x:f>IF(OR(B12="",C12="",D12="",E12=""),"",IF(OR(C12&lt;0,C12&gt;=B12,D12&lt;2,D12&gt;24,D12&lt;&gt;INT(D12),ROUND((B12-C12)*100,0)&lt;D12),"",ROUNDDOWN((B12-C12)/D12,2)))</x:f>
      </x:c>
      <x:c r="G12" s="10" t="str">
        <x:f>IF(F12="","",ROUND(B12-C12-F12*(D12-1),2))</x:f>
      </x:c>
      <x:c r="H12" s="10" t="str">
        <x:f>IF(F12="","",ROUND(C12+F12*(D12-1)+G12,2))</x:f>
      </x:c>
      <x:c r="I12" s="3" t="str">
        <x:f>IF(OR(B12="",C12="",D12="",E12=""),"Not configured",IF(F12="","Review terms","Ready for owner review"))</x:f>
        <x:v>Not configured</x:v>
      </x:c>
    </x:row>
    <x:row r="13" ht="26" customHeight="1">
      <x:c r="A13" s="3" t="str">
        <x:f>Inventory!C13</x:f>
        <x:v>Zinc</x:v>
      </x:c>
      <x:c r="B13" s="10" t="str">
        <x:f>IF(Inventory!K13="","",Inventory!K13)</x:f>
      </x:c>
      <x:c r="C13" s="13"/>
      <x:c r="D13" s="7"/>
      <x:c r="E13" s="7"/>
      <x:c r="F13" s="10" t="str">
        <x:f>IF(OR(B13="",C13="",D13="",E13=""),"",IF(OR(C13&lt;0,C13&gt;=B13,D13&lt;2,D13&gt;24,D13&lt;&gt;INT(D13),ROUND((B13-C13)*100,0)&lt;D13),"",ROUNDDOWN((B13-C13)/D13,2)))</x:f>
      </x:c>
      <x:c r="G13" s="10" t="str">
        <x:f>IF(F13="","",ROUND(B13-C13-F13*(D13-1),2))</x:f>
      </x:c>
      <x:c r="H13" s="10" t="str">
        <x:f>IF(F13="","",ROUND(C13+F13*(D13-1)+G13,2))</x:f>
      </x:c>
      <x:c r="I13" s="3" t="str">
        <x:f>IF(OR(B13="",C13="",D13="",E13=""),"Not configured",IF(F13="","Review terms","Ready for owner review"))</x:f>
        <x:v>Not configured</x:v>
      </x:c>
    </x:row>
  </x:sheetData>
  <x:mergeCells>
    <x:mergeCell ref="A1:I1"/>
    <x:mergeCell ref="A2:I2"/>
  </x:mergeCells>
  <x:dataValidations count="2">
    <x:dataValidation type="list" sqref="E5:E13">
      <x:formula1>"weekly,biweekly,monthly"</x:formula1>
    </x:dataValidation>
    <x:dataValidation type="whole" operator="between" sqref="D5:D13">
      <x:formula1>2</x:formula1>
      <x:formula2>24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C2B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60" hidden="0" customWidth="1"/>
    <x:col min="3" max="3" width="19" hidden="0" customWidth="1"/>
    <x:col min="4" max="4" width="19" hidden="0" customWidth="1"/>
    <x:col min="5" max="5" width="45" hidden="0" customWidth="1"/>
  </x:cols>
  <x:sheetData>
    <x:row r="1" ht="38" customHeight="1">
      <x:c r="A1" s="5" t="str">
        <x:v>LOVELICARE  /  STOCK REVIEW</x:v>
      </x:c>
      <x:c r="B1" s="5"/>
      <x:c r="C1" s="5"/>
      <x:c r="D1" s="5"/>
      <x:c r="E1" s="5"/>
    </x:row>
    <x:row r="2" ht="32" customHeight="1">
      <x:c r="A2" s="6" t="str">
        <x:v>Source: lovelicare-full-inventory-vitamins.txt. Original entries preserved. These counts are not applied to Inventory.</x:v>
      </x:c>
      <x:c r="B2" s="6"/>
      <x:c r="C2" s="6"/>
      <x:c r="D2" s="6"/>
      <x:c r="E2" s="6"/>
    </x:row>
    <x:row r="3" ht="26" customHeight="1">
      <x:c r="A3" s="3"/>
      <x:c r="B3" s="3"/>
      <x:c r="C3" s="3"/>
      <x:c r="D3" s="3"/>
      <x:c r="E3" s="3"/>
    </x:row>
    <x:row r="4" ht="35" customHeight="1">
      <x:c r="A4" s="9" t="str">
        <x:v>Original entry</x:v>
      </x:c>
      <x:c r="B4" s="9" t="str">
        <x:v>Parsed product</x:v>
      </x:c>
      <x:c r="C4" s="9" t="str">
        <x:v>Parsed quantity</x:v>
      </x:c>
      <x:c r="D4" s="9" t="str">
        <x:v>Review state</x:v>
      </x:c>
      <x:c r="E4" s="9" t="str">
        <x:v>Source file</x:v>
      </x:c>
    </x:row>
    <x:row r="5" ht="26" customHeight="1">
      <x:c r="A5" s="3" t="str">
        <x:v>1-Magnesium 300mg/ml </x:v>
      </x:c>
      <x:c r="B5" s="3" t="str">
        <x:v>Magnesium 300mg/ml</x:v>
      </x:c>
      <x:c r="C5" s="3" t="n">
        <x:v>1</x:v>
      </x:c>
      <x:c r="D5" s="3" t="str">
        <x:v>Needs review</x:v>
      </x:c>
      <x:c r="E5" s="3" t="str">
        <x:v>lovelicare-full-inventory-vitamins.txt</x:v>
      </x:c>
    </x:row>
    <x:row r="6" ht="26" customHeight="1">
      <x:c r="A6" s="3" t="str">
        <x:v>1-Vita Complex </x:v>
      </x:c>
      <x:c r="B6" s="3" t="str">
        <x:v>Vita Complex</x:v>
      </x:c>
      <x:c r="C6" s="3" t="n">
        <x:v>1</x:v>
      </x:c>
      <x:c r="D6" s="3" t="str">
        <x:v>Needs review</x:v>
      </x:c>
      <x:c r="E6" s="3" t="str">
        <x:v>lovelicare-full-inventory-vitamins.txt</x:v>
      </x:c>
    </x:row>
    <x:row r="7" ht="26" customHeight="1">
      <x:c r="A7" s="3" t="str">
        <x:v>1-MICC</x:v>
      </x:c>
      <x:c r="B7" s="3" t="str">
        <x:v>MICC</x:v>
      </x:c>
      <x:c r="C7" s="3" t="n">
        <x:v>1</x:v>
      </x:c>
      <x:c r="D7" s="3" t="str">
        <x:v>Needs review</x:v>
      </x:c>
      <x:c r="E7" s="3" t="str">
        <x:v>lovelicare-full-inventory-vitamins.txt</x:v>
      </x:c>
    </x:row>
    <x:row r="8" ht="26" customHeight="1">
      <x:c r="A8" s="3" t="str">
        <x:v>1-Mineral Blend </x:v>
      </x:c>
      <x:c r="B8" s="3" t="str">
        <x:v>Mineral Blend</x:v>
      </x:c>
      <x:c r="C8" s="3" t="n">
        <x:v>1</x:v>
      </x:c>
      <x:c r="D8" s="3" t="str">
        <x:v>Needs review</x:v>
      </x:c>
      <x:c r="E8" s="3" t="str">
        <x:v>lovelicare-full-inventory-vitamins.txt</x:v>
      </x:c>
    </x:row>
    <x:row r="9" ht="26" customHeight="1">
      <x:c r="A9" s="3" t="str">
        <x:v>1-Taurine </x:v>
      </x:c>
      <x:c r="B9" s="3" t="str">
        <x:v>Taurine</x:v>
      </x:c>
      <x:c r="C9" s="3" t="n">
        <x:v>1</x:v>
      </x:c>
      <x:c r="D9" s="3" t="str">
        <x:v>Needs review</x:v>
      </x:c>
      <x:c r="E9" s="3" t="str">
        <x:v>lovelicare-full-inventory-vitamins.txt</x:v>
      </x:c>
    </x:row>
    <x:row r="10" ht="26" customHeight="1">
      <x:c r="A10" s="3" t="str">
        <x:v>1-Amino Blend (Olympia)</x:v>
      </x:c>
      <x:c r="B10" s="3" t="str">
        <x:v>Amino Blend (Olympia)</x:v>
      </x:c>
      <x:c r="C10" s="3" t="n">
        <x:v>1</x:v>
      </x:c>
      <x:c r="D10" s="3" t="str">
        <x:v>Needs review</x:v>
      </x:c>
      <x:c r="E10" s="3" t="str">
        <x:v>lovelicare-full-inventory-vitamins.txt</x:v>
      </x:c>
    </x:row>
    <x:row r="11" ht="26" customHeight="1">
      <x:c r="A11" s="3" t="str">
        <x:v>1-Carnitine (Olympia)</x:v>
      </x:c>
      <x:c r="B11" s="3" t="str">
        <x:v>Carnitine (Olympia)</x:v>
      </x:c>
      <x:c r="C11" s="3" t="n">
        <x:v>1</x:v>
      </x:c>
      <x:c r="D11" s="3" t="str">
        <x:v>Needs review</x:v>
      </x:c>
      <x:c r="E11" s="3" t="str">
        <x:v>lovelicare-full-inventory-vitamins.txt</x:v>
      </x:c>
    </x:row>
    <x:row r="12" ht="26" customHeight="1">
      <x:c r="A12" s="3" t="str">
        <x:v>1.5-Lysine (Anazao)</x:v>
      </x:c>
      <x:c r="B12" s="3" t="str">
        <x:v>Lysine (Anazao)</x:v>
      </x:c>
      <x:c r="C12" s="3" t="n">
        <x:v>1.5</x:v>
      </x:c>
      <x:c r="D12" s="3" t="str">
        <x:v>Needs review</x:v>
      </x:c>
      <x:c r="E12" s="3" t="str">
        <x:v>lovelicare-full-inventory-vitamins.txt</x:v>
      </x:c>
    </x:row>
    <x:row r="13" ht="26" customHeight="1">
      <x:c r="A13" s="3" t="str">
        <x:v>1-Alpha Lipoic Acid (Empower)</x:v>
      </x:c>
      <x:c r="B13" s="3" t="str">
        <x:v>Alpha Lipoic Acid (Empower)</x:v>
      </x:c>
      <x:c r="C13" s="3" t="n">
        <x:v>1</x:v>
      </x:c>
      <x:c r="D13" s="3" t="str">
        <x:v>Needs review</x:v>
      </x:c>
      <x:c r="E13" s="3" t="str">
        <x:v>lovelicare-full-inventory-vitamins.txt</x:v>
      </x:c>
    </x:row>
    <x:row r="14" ht="26" customHeight="1">
      <x:c r="A14" s="3" t="str">
        <x:v>0.5-Alpha Lipoic Acid (Olympia)</x:v>
      </x:c>
      <x:c r="B14" s="3" t="str">
        <x:v>Alpha Lipoic Acid (Olympia)</x:v>
      </x:c>
      <x:c r="C14" s="3" t="n">
        <x:v>0.5</x:v>
      </x:c>
      <x:c r="D14" s="3" t="str">
        <x:v>Needs review</x:v>
      </x:c>
      <x:c r="E14" s="3" t="str">
        <x:v>lovelicare-full-inventory-vitamins.txt</x:v>
      </x:c>
    </x:row>
    <x:row r="15" ht="26" customHeight="1">
      <x:c r="A15" s="3" t="str">
        <x:v>1-Lipo Mino Mix (Olympia)</x:v>
      </x:c>
      <x:c r="B15" s="3" t="str">
        <x:v>Lipo Mino Mix (Olympia)</x:v>
      </x:c>
      <x:c r="C15" s="3" t="n">
        <x:v>1</x:v>
      </x:c>
      <x:c r="D15" s="3" t="str">
        <x:v>Needs review</x:v>
      </x:c>
      <x:c r="E15" s="3" t="str">
        <x:v>lovelicare-full-inventory-vitamins.txt</x:v>
      </x:c>
    </x:row>
    <x:row r="16" ht="26" customHeight="1">
      <x:c r="A16" s="3" t="str">
        <x:v>1-Vitamin D (Olympia)</x:v>
      </x:c>
      <x:c r="B16" s="3" t="str">
        <x:v>Vitamin D (Olympia)</x:v>
      </x:c>
      <x:c r="C16" s="3" t="n">
        <x:v>1</x:v>
      </x:c>
      <x:c r="D16" s="3" t="str">
        <x:v>Needs review</x:v>
      </x:c>
      <x:c r="E16" s="3" t="str">
        <x:v>lovelicare-full-inventory-vitamins.txt</x:v>
      </x:c>
    </x:row>
    <x:row r="17" ht="26" customHeight="1">
      <x:c r="A17" s="3" t="str">
        <x:v>1-Glycine (Empower)</x:v>
      </x:c>
      <x:c r="B17" s="3" t="str">
        <x:v>Glycine (Empower)</x:v>
      </x:c>
      <x:c r="C17" s="3" t="n">
        <x:v>1</x:v>
      </x:c>
      <x:c r="D17" s="3" t="str">
        <x:v>Needs review</x:v>
      </x:c>
      <x:c r="E17" s="3" t="str">
        <x:v>lovelicare-full-inventory-vitamins.txt</x:v>
      </x:c>
    </x:row>
    <x:row r="18" ht="26" customHeight="1">
      <x:c r="A18" s="3" t="str">
        <x:v>1-Ascorbic Acid  (Empower)</x:v>
      </x:c>
      <x:c r="B18" s="3" t="str">
        <x:v>Ascorbic Acid  (Empower)</x:v>
      </x:c>
      <x:c r="C18" s="3" t="n">
        <x:v>1</x:v>
      </x:c>
      <x:c r="D18" s="3" t="str">
        <x:v>Needs review</x:v>
      </x:c>
      <x:c r="E18" s="3" t="str">
        <x:v>lovelicare-full-inventory-vitamins.txt</x:v>
      </x:c>
    </x:row>
    <x:row r="19" ht="26" customHeight="1">
      <x:c r="A19" s="3" t="str">
        <x:v>1-Ascorbic Acid (Olympia)</x:v>
      </x:c>
      <x:c r="B19" s="3" t="str">
        <x:v>Ascorbic Acid (Olympia)</x:v>
      </x:c>
      <x:c r="C19" s="3" t="n">
        <x:v>1</x:v>
      </x:c>
      <x:c r="D19" s="3" t="str">
        <x:v>Needs review</x:v>
      </x:c>
      <x:c r="E19" s="3" t="str">
        <x:v>lovelicare-full-inventory-vitamins.txt</x:v>
      </x:c>
    </x:row>
    <x:row r="20" ht="26" customHeight="1">
      <x:c r="A20" s="3" t="str">
        <x:v>1-Pyridoxine (Empower) </x:v>
      </x:c>
      <x:c r="B20" s="3" t="str">
        <x:v>Pyridoxine (Empower)</x:v>
      </x:c>
      <x:c r="C20" s="3" t="n">
        <x:v>1</x:v>
      </x:c>
      <x:c r="D20" s="3" t="str">
        <x:v>Needs review</x:v>
      </x:c>
      <x:c r="E20" s="3" t="str">
        <x:v>lovelicare-full-inventory-vitamins.txt</x:v>
      </x:c>
    </x:row>
    <x:row r="21" ht="26" customHeight="1">
      <x:c r="A21" s="3" t="str">
        <x:v>2.5-Glutathione (Olympia) </x:v>
      </x:c>
      <x:c r="B21" s="3" t="str">
        <x:v>Glutathione (Olympia)</x:v>
      </x:c>
      <x:c r="C21" s="3" t="n">
        <x:v>2.5</x:v>
      </x:c>
      <x:c r="D21" s="3" t="str">
        <x:v>Needs review</x:v>
      </x:c>
      <x:c r="E21" s="3" t="str">
        <x:v>lovelicare-full-inventory-vitamins.txt</x:v>
      </x:c>
    </x:row>
    <x:row r="22" ht="26" customHeight="1">
      <x:c r="A22" s="3" t="str">
        <x:v>0.5-NAD+ 100mg/ml (Olympia 10ml vial) </x:v>
      </x:c>
      <x:c r="B22" s="3" t="str">
        <x:v>NAD+ 100mg/ml (Olympia 10ml vial)</x:v>
      </x:c>
      <x:c r="C22" s="3" t="n">
        <x:v>0.5</x:v>
      </x:c>
      <x:c r="D22" s="3" t="str">
        <x:v>Needs review</x:v>
      </x:c>
      <x:c r="E22" s="3" t="str">
        <x:v>lovelicare-full-inventory-vitamins.txt</x:v>
      </x:c>
    </x:row>
    <x:row r="23" ht="26" customHeight="1">
      <x:c r="A23" s="3" t="str">
        <x:v>0.5-Zinc 10mg/ml (Olympia 10ml vial)</x:v>
      </x:c>
      <x:c r="B23" s="3" t="str">
        <x:v>Zinc 10mg/ml (Olympia 10ml vial)</x:v>
      </x:c>
      <x:c r="C23" s="3" t="n">
        <x:v>0.5</x:v>
      </x:c>
      <x:c r="D23" s="3" t="str">
        <x:v>Needs review</x:v>
      </x:c>
      <x:c r="E23" s="3" t="str">
        <x:v>lovelicare-full-inventory-vitamins.txt</x:v>
      </x:c>
    </x:row>
    <x:row r="24" ht="26" customHeight="1">
      <x:c r="A24" s="3" t="str">
        <x:v>O.5-Lidocaine 2% (50ml)</x:v>
      </x:c>
      <x:c r="B24" s="3" t="str">
        <x:v>O.5-Lidocaine 2% (50ml)</x:v>
      </x:c>
      <x:c r="C24" s="3"/>
      <x:c r="D24" s="3" t="str">
        <x:v>Ambiguous count</x:v>
      </x:c>
      <x:c r="E24" s="3" t="str">
        <x:v>lovelicare-full-inventory-vitamins.txt</x:v>
      </x:c>
    </x:row>
    <x:row r="25" ht="26" customHeight="1">
      <x:c r="A25" s="3" t="str">
        <x:v>0.25-Tri-Immune (Olympia)</x:v>
      </x:c>
      <x:c r="B25" s="3" t="str">
        <x:v>Tri-Immune (Olympia)</x:v>
      </x:c>
      <x:c r="C25" s="3" t="n">
        <x:v>0.25</x:v>
      </x:c>
      <x:c r="D25" s="3" t="str">
        <x:v>Needs review</x:v>
      </x:c>
      <x:c r="E25" s="3" t="str">
        <x:v>lovelicare-full-inventory-vitamins.txt</x:v>
      </x:c>
    </x:row>
    <x:row r="26" ht="26" customHeight="1">
      <x:c r="A26" s="3" t="str">
        <x:v>0-25-Plenish IV (Anazao)</x:v>
      </x:c>
      <x:c r="B26" s="3" t="str">
        <x:v>0-25-Plenish IV (Anazao)</x:v>
      </x:c>
      <x:c r="C26" s="3"/>
      <x:c r="D26" s="3" t="str">
        <x:v>Ambiguous count</x:v>
      </x:c>
      <x:c r="E26" s="3" t="str">
        <x:v>lovelicare-full-inventory-vitamins.txt</x:v>
      </x:c>
    </x:row>
    <x:row r="27" ht="26" customHeight="1">
      <x:c r="A27" s="3" t="str">
        <x:v>1-Lipo Mino Mix-C (Olympia) </x:v>
      </x:c>
      <x:c r="B27" s="3" t="str">
        <x:v>Lipo Mino Mix-C (Olympia)</x:v>
      </x:c>
      <x:c r="C27" s="3" t="n">
        <x:v>1</x:v>
      </x:c>
      <x:c r="D27" s="3" t="str">
        <x:v>Needs review</x:v>
      </x:c>
      <x:c r="E27" s="3" t="str">
        <x:v>lovelicare-full-inventory-vitamins.txt</x:v>
      </x:c>
    </x:row>
    <x:row r="28" ht="26" customHeight="1">
      <x:c r="A28" s="3" t="str">
        <x:v>1-Glutathione Preservative Free (Anazao 10ml vial) </x:v>
      </x:c>
      <x:c r="B28" s="3" t="str">
        <x:v>Glutathione Preservative Free (Anazao 10ml vial)</x:v>
      </x:c>
      <x:c r="C28" s="3" t="n">
        <x:v>1</x:v>
      </x:c>
      <x:c r="D28" s="3" t="str">
        <x:v>Needs review</x:v>
      </x:c>
      <x:c r="E28" s="3" t="str">
        <x:v>lovelicare-full-inventory-vitamins.txt</x:v>
      </x:c>
    </x:row>
    <x:row r="29" ht="26" customHeight="1">
      <x:c r="A29" s="3" t="str">
        <x:v>1-Glutamine (Olympia) </x:v>
      </x:c>
      <x:c r="B29" s="3" t="str">
        <x:v>Glutamine (Olympia)</x:v>
      </x:c>
      <x:c r="C29" s="3" t="n">
        <x:v>1</x:v>
      </x:c>
      <x:c r="D29" s="3" t="str">
        <x:v>Needs review</x:v>
      </x:c>
      <x:c r="E29" s="3" t="str">
        <x:v>lovelicare-full-inventory-vitamins.txt</x:v>
      </x:c>
    </x:row>
    <x:row r="30" ht="26" customHeight="1">
      <x:c r="A30" s="3" t="str">
        <x:v>1.5-Chromium 4mcg/ml (40mg/10ml)</x:v>
      </x:c>
      <x:c r="B30" s="3" t="str">
        <x:v>Chromium 4mcg/ml (40mg/10ml)</x:v>
      </x:c>
      <x:c r="C30" s="3" t="n">
        <x:v>1.5</x:v>
      </x:c>
      <x:c r="D30" s="3" t="str">
        <x:v>Needs review</x:v>
      </x:c>
      <x:c r="E30" s="3" t="str">
        <x:v>lovelicare-full-inventory-vitamins.txt</x:v>
      </x:c>
    </x:row>
    <x:row r="31" ht="26" customHeight="1">
      <x:c r="A31" s="3" t="str">
        <x:v>5- Diphenhydramine (50mg/ml)</x:v>
      </x:c>
      <x:c r="B31" s="3" t="str">
        <x:v>Diphenhydramine (50mg/ml)</x:v>
      </x:c>
      <x:c r="C31" s="3" t="n">
        <x:v>5</x:v>
      </x:c>
      <x:c r="D31" s="3" t="str">
        <x:v>Needs review</x:v>
      </x:c>
      <x:c r="E31" s="3" t="str">
        <x:v>lovelicare-full-inventory-vitamins.txt</x:v>
      </x:c>
    </x:row>
    <x:row r="32" ht="26" customHeight="1">
      <x:c r="A32" s="3" t="str">
        <x:v>20- Famotidine (20mg/2ml)</x:v>
      </x:c>
      <x:c r="B32" s="3" t="str">
        <x:v>Famotidine (20mg/2ml)</x:v>
      </x:c>
      <x:c r="C32" s="3" t="n">
        <x:v>20</x:v>
      </x:c>
      <x:c r="D32" s="3" t="str">
        <x:v>Needs review</x:v>
      </x:c>
      <x:c r="E32" s="3" t="str">
        <x:v>lovelicare-full-inventory-vitamins.txt</x:v>
      </x:c>
    </x:row>
  </x:sheetData>
  <x:mergeCells>
    <x:mergeCell ref="A1:E1"/>
    <x:mergeCell ref="A2:E2"/>
  </x:mergeCells>
  <x:dataValidations count="1">
    <x:dataValidation type="list" sqref="D5:D32">
      <x:formula1>"Needs review,Ambiguous count,Verified,Do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bbd00d7abe4bb4"/>
  </x:tableParts>
</x:worksheet>
</file>